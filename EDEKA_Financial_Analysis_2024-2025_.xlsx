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nalysis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<sst xmlns="http://schemas.openxmlformats.org/spreadsheetml/2006/main" count="270" uniqueCount="42">
  <si>
    <t xml:space="preserve">Year</t>
  </si>
  <si>
    <t xml:space="preserve">Month</t>
  </si>
  <si>
    <t xml:space="preserve">EDEKA Regional Entity</t>
  </si>
  <si>
    <t xml:space="preserve">Monthly Revenue (€)</t>
  </si>
  <si>
    <t xml:space="preserve">Monthly CapEx (€)</t>
  </si>
  <si>
    <t xml:space="preserve">January</t>
  </si>
  <si>
    <t xml:space="preserve">EDEKA Minden-Hannover</t>
  </si>
  <si>
    <t xml:space="preserve">EDEKA Südwest</t>
  </si>
  <si>
    <t xml:space="preserve">EDEKA Nordbayern-Sachsen-Thüringen</t>
  </si>
  <si>
    <t xml:space="preserve">EDEKA Rhein-Ruhr</t>
  </si>
  <si>
    <t xml:space="preserve">EDEKA Südbayern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</si>
  <si>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</si>
  <si>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</si>
  <si>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</si>
  <si>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</si>
  <si>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</si>
  <si>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</si>
  <si>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</si>
  <si>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</si>
  <si>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</si>
  <si>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</si>
  <si>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</si>
  <si>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EDEKA FINANCIAL ANALYSIS DASHBOARD 2024-2025</t>
  </si>
  <si>
    <t xml:space="preserve">KEY FINANCIAL METRICS</t>
  </si>
  <si>
    <t xml:space="preserve">Metric</t>
  </si>
  <si>
    <t xml:space="preserve">2024 Value</t>
  </si>
  <si>
    <t xml:space="preserve">2025 Value</t>
  </si>
  <si>
    <t xml:space="preserve">Change</t>
  </si>
  <si>
    <t xml:space="preserve">Total Revenue (€)</t>
  </si>
  <si>
    <t xml:space="preserve">Total CapEx (€)</t>
  </si>
  <si>
    <t xml:space="preserve">CapEx Intensity (%)</t>
  </si>
  <si>
    <t xml:space="preserve">Average Monthly Revenue (€)</t>
  </si>
  <si>
    <t xml:space="preserve">REGIONAL PERFORMANCE 2024-2025</t>
  </si>
  <si>
    <t xml:space="preserve">Region</t>
  </si>
  <si>
    <t xml:space="preserve">2024 Revenue (€)</t>
  </si>
  <si>
    <t xml:space="preserve">2025 Revenue (€)</t>
  </si>
  <si>
    <t xml:space="preserve">Growth %</t>
  </si>
  <si>
    <t xml:space="preserve">EXECUTIVE SUMMARY &amp; ANALYTICAL NOTES</t>
  </si>
  <si>
    <t xml:space="preserve">• Top-line momentum: Total revenue grows from €44.09bn (FY24) to €45.72bn (FY25), +3.69% YoY, led by Minden-Hannover (+4.0%) and Rhein-Ruhr (+3.8%).</t>
  </si>
  <si>
    <t xml:space="preserve">• Scope: model covers the 5 regional wholesale cooperatives only; excludes independent retail margins and Netto.</t>
  </si>
  <si>
    <t xml:space="preserve">• CapEx: reinvestment modeled at a standardized 0.35% revenue-indexed rate per region (€154.3M FY24 → €160.0M FY25), isolating volume efficiency from one-off local construction spend.</t>
  </si>
  <si>
    <t xml:space="preserve">• Takeaway: West/North corridor volume density continues to support proportional infrastructure allocation amid intensive national grocery competition.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</si>
</sst>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sz val="10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E7F0F7"/>
        <bgColor rgb="FFFFFFFF"/>
      </patternFill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2024</v>
      </c>
      <c r="B2" s="3" t="s">
        <v>5</v>
      </c>
      <c r="C2" s="3" t="s">
        <v>6</v>
      </c>
      <c r="D2" s="4" t="n">
        <v>1159000000</v>
      </c>
      <c r="E2" s="4" t="n">
        <v>4056500</v>
      </c>
    </row>
    <row r="3" customFormat="false" ht="15" hidden="false" customHeight="true" outlineLevel="0" collapsed="false">
      <c r="A3" s="5" t="n">
        <v>2024</v>
      </c>
      <c r="B3" s="5" t="s">
        <v>5</v>
      </c>
      <c r="C3" s="5" t="s">
        <v>7</v>
      </c>
      <c r="D3" s="6" t="n">
        <v>1045000000</v>
      </c>
      <c r="E3" s="6" t="n">
        <v>3657500</v>
      </c>
    </row>
    <row r="4" customFormat="false" ht="15" hidden="false" customHeight="true" outlineLevel="0" collapsed="false">
      <c r="A4" s="3" t="n">
        <v>2024</v>
      </c>
      <c r="B4" s="3" t="s">
        <v>5</v>
      </c>
      <c r="C4" s="3" t="s">
        <v>8</v>
      </c>
      <c r="D4" s="4" t="n">
        <v>513000000</v>
      </c>
      <c r="E4" s="4" t="n">
        <v>1795500</v>
      </c>
    </row>
    <row r="5" customFormat="false" ht="15" hidden="false" customHeight="true" outlineLevel="0" collapsed="false">
      <c r="A5" s="5" t="n">
        <v>2024</v>
      </c>
      <c r="B5" s="5" t="s">
        <v>5</v>
      </c>
      <c r="C5" s="5" t="s">
        <v>9</v>
      </c>
      <c r="D5" s="6" t="n">
        <v>617500000</v>
      </c>
      <c r="E5" s="6" t="n">
        <v>2161250</v>
      </c>
    </row>
    <row r="6" customFormat="false" ht="15" hidden="false" customHeight="true" outlineLevel="0" collapsed="false">
      <c r="A6" s="3" t="n">
        <v>2024</v>
      </c>
      <c r="B6" s="3" t="s">
        <v>5</v>
      </c>
      <c r="C6" s="3" t="s">
        <v>10</v>
      </c>
      <c r="D6" s="4" t="n">
        <v>456000000</v>
      </c>
      <c r="E6" s="4" t="n">
        <v>1596000</v>
      </c>
    </row>
    <row r="7" customFormat="false" ht="15" hidden="false" customHeight="true" outlineLevel="0" collapsed="false">
      <c r="A7" s="5" t="n">
        <v>2024</v>
      </c>
      <c r="B7" s="5" t="s">
        <v>11</v>
      </c>
      <c r="C7" s="5" t="s">
        <v>6</v>
      </c>
      <c r="D7" s="6" t="n">
        <v>1073600000</v>
      </c>
      <c r="E7" s="6" t="n">
        <v>3757600</v>
      </c>
    </row>
    <row r="8" customFormat="false" ht="15" hidden="false" customHeight="true" outlineLevel="0" collapsed="false">
      <c r="A8" s="3" t="n">
        <v>2024</v>
      </c>
      <c r="B8" s="3" t="s">
        <v>11</v>
      </c>
      <c r="C8" s="3" t="s">
        <v>7</v>
      </c>
      <c r="D8" s="4" t="n">
        <v>968000000</v>
      </c>
      <c r="E8" s="4" t="n">
        <v>3388000</v>
      </c>
    </row>
    <row r="9" customFormat="false" ht="15" hidden="false" customHeight="true" outlineLevel="0" collapsed="false">
      <c r="A9" s="5" t="n">
        <v>2024</v>
      </c>
      <c r="B9" s="5" t="s">
        <v>11</v>
      </c>
      <c r="C9" s="5" t="s">
        <v>8</v>
      </c>
      <c r="D9" s="6" t="n">
        <v>475200000</v>
      </c>
      <c r="E9" s="6" t="n">
        <v>1663200</v>
      </c>
    </row>
    <row r="10" customFormat="false" ht="15" hidden="false" customHeight="true" outlineLevel="0" collapsed="false">
      <c r="A10" s="3" t="n">
        <v>2024</v>
      </c>
      <c r="B10" s="3" t="s">
        <v>11</v>
      </c>
      <c r="C10" s="3" t="s">
        <v>9</v>
      </c>
      <c r="D10" s="4" t="n">
        <v>572000000</v>
      </c>
      <c r="E10" s="4" t="n">
        <v>2002000</v>
      </c>
    </row>
    <row r="11" customFormat="false" ht="15" hidden="false" customHeight="true" outlineLevel="0" collapsed="false">
      <c r="A11" s="5" t="n">
        <v>2024</v>
      </c>
      <c r="B11" s="5" t="s">
        <v>11</v>
      </c>
      <c r="C11" s="5" t="s">
        <v>10</v>
      </c>
      <c r="D11" s="6" t="n">
        <v>422400000</v>
      </c>
      <c r="E11" s="6" t="n">
        <v>1478400</v>
      </c>
    </row>
    <row r="12" customFormat="false" ht="15" hidden="false" customHeight="true" outlineLevel="0" collapsed="false">
      <c r="A12" s="3" t="n">
        <v>2024</v>
      </c>
      <c r="B12" s="3" t="s">
        <v>12</v>
      </c>
      <c r="C12" s="3" t="s">
        <v>6</v>
      </c>
      <c r="D12" s="4" t="n">
        <v>1098000000</v>
      </c>
      <c r="E12" s="4" t="n">
        <v>3843000</v>
      </c>
    </row>
    <row r="13" customFormat="false" ht="15" hidden="false" customHeight="true" outlineLevel="0" collapsed="false">
      <c r="A13" s="5" t="n">
        <v>2024</v>
      </c>
      <c r="B13" s="5" t="s">
        <v>12</v>
      </c>
      <c r="C13" s="5" t="s">
        <v>7</v>
      </c>
      <c r="D13" s="6" t="n">
        <v>990000000</v>
      </c>
      <c r="E13" s="6" t="n">
        <v>3465000</v>
      </c>
    </row>
    <row r="14" customFormat="false" ht="15" hidden="false" customHeight="true" outlineLevel="0" collapsed="false">
      <c r="A14" s="3" t="n">
        <v>2024</v>
      </c>
      <c r="B14" s="3" t="s">
        <v>12</v>
      </c>
      <c r="C14" s="3" t="s">
        <v>8</v>
      </c>
      <c r="D14" s="4" t="n">
        <v>486000000</v>
      </c>
      <c r="E14" s="4" t="n">
        <v>1701000</v>
      </c>
    </row>
    <row r="15" customFormat="false" ht="15" hidden="false" customHeight="true" outlineLevel="0" collapsed="false">
      <c r="A15" s="5" t="n">
        <v>2024</v>
      </c>
      <c r="B15" s="5" t="s">
        <v>12</v>
      </c>
      <c r="C15" s="5" t="s">
        <v>9</v>
      </c>
      <c r="D15" s="6" t="n">
        <v>585000000</v>
      </c>
      <c r="E15" s="6" t="n">
        <v>2047500</v>
      </c>
    </row>
    <row r="16" customFormat="false" ht="15" hidden="false" customHeight="true" outlineLevel="0" collapsed="false">
      <c r="A16" s="3" t="n">
        <v>2024</v>
      </c>
      <c r="B16" s="3" t="s">
        <v>12</v>
      </c>
      <c r="C16" s="3" t="s">
        <v>10</v>
      </c>
      <c r="D16" s="4" t="n">
        <v>432000000</v>
      </c>
      <c r="E16" s="4" t="n">
        <v>1512000</v>
      </c>
    </row>
    <row r="17" customFormat="false" ht="15" hidden="false" customHeight="true" outlineLevel="0" collapsed="false">
      <c r="A17" s="5" t="n">
        <v>2024</v>
      </c>
      <c r="B17" s="5" t="s">
        <v>13</v>
      </c>
      <c r="C17" s="5" t="s">
        <v>6</v>
      </c>
      <c r="D17" s="6" t="n">
        <v>1000400000</v>
      </c>
      <c r="E17" s="6" t="n">
        <v>3501400</v>
      </c>
    </row>
    <row r="18" customFormat="false" ht="15" hidden="false" customHeight="true" outlineLevel="0" collapsed="false">
      <c r="A18" s="3" t="n">
        <v>2024</v>
      </c>
      <c r="B18" s="3" t="s">
        <v>13</v>
      </c>
      <c r="C18" s="3" t="s">
        <v>7</v>
      </c>
      <c r="D18" s="4" t="n">
        <v>902000000</v>
      </c>
      <c r="E18" s="4" t="n">
        <v>3157000</v>
      </c>
    </row>
    <row r="19" customFormat="false" ht="15" hidden="false" customHeight="true" outlineLevel="0" collapsed="false">
      <c r="A19" s="5" t="n">
        <v>2024</v>
      </c>
      <c r="B19" s="5" t="s">
        <v>13</v>
      </c>
      <c r="C19" s="5" t="s">
        <v>8</v>
      </c>
      <c r="D19" s="6" t="n">
        <v>442800000</v>
      </c>
      <c r="E19" s="6" t="n">
        <v>1549800</v>
      </c>
    </row>
    <row r="20" customFormat="false" ht="15" hidden="false" customHeight="true" outlineLevel="0" collapsed="false">
      <c r="A20" s="3" t="n">
        <v>2024</v>
      </c>
      <c r="B20" s="3" t="s">
        <v>13</v>
      </c>
      <c r="C20" s="3" t="s">
        <v>9</v>
      </c>
      <c r="D20" s="4" t="n">
        <v>533000000</v>
      </c>
      <c r="E20" s="4" t="n">
        <v>1865500</v>
      </c>
    </row>
    <row r="21" customFormat="false" ht="15" hidden="false" customHeight="true" outlineLevel="0" collapsed="false">
      <c r="A21" s="5" t="n">
        <v>2024</v>
      </c>
      <c r="B21" s="5" t="s">
        <v>13</v>
      </c>
      <c r="C21" s="5" t="s">
        <v>10</v>
      </c>
      <c r="D21" s="6" t="n">
        <v>393600000</v>
      </c>
      <c r="E21" s="6" t="n">
        <v>1377600</v>
      </c>
    </row>
    <row r="22" customFormat="false" ht="15" hidden="false" customHeight="true" outlineLevel="0" collapsed="false">
      <c r="A22" s="3" t="n">
        <v>2024</v>
      </c>
      <c r="B22" s="3" t="s">
        <v>14</v>
      </c>
      <c r="C22" s="3" t="s">
        <v>6</v>
      </c>
      <c r="D22" s="4" t="n">
        <v>976000000</v>
      </c>
      <c r="E22" s="4" t="n">
        <v>3416000</v>
      </c>
    </row>
    <row r="23" customFormat="false" ht="15" hidden="false" customHeight="true" outlineLevel="0" collapsed="false">
      <c r="A23" s="5" t="n">
        <v>2024</v>
      </c>
      <c r="B23" s="5" t="s">
        <v>14</v>
      </c>
      <c r="C23" s="5" t="s">
        <v>7</v>
      </c>
      <c r="D23" s="6" t="n">
        <v>880000000</v>
      </c>
      <c r="E23" s="6" t="n">
        <v>3080000</v>
      </c>
    </row>
    <row r="24" customFormat="false" ht="15" hidden="false" customHeight="true" outlineLevel="0" collapsed="false">
      <c r="A24" s="3" t="n">
        <v>2024</v>
      </c>
      <c r="B24" s="3" t="s">
        <v>14</v>
      </c>
      <c r="C24" s="3" t="s">
        <v>8</v>
      </c>
      <c r="D24" s="4" t="n">
        <v>432000000</v>
      </c>
      <c r="E24" s="4" t="n">
        <v>1512000</v>
      </c>
    </row>
    <row r="25" customFormat="false" ht="15" hidden="false" customHeight="true" outlineLevel="0" collapsed="false">
      <c r="A25" s="5" t="n">
        <v>2024</v>
      </c>
      <c r="B25" s="5" t="s">
        <v>14</v>
      </c>
      <c r="C25" s="5" t="s">
        <v>9</v>
      </c>
      <c r="D25" s="6" t="n">
        <v>520000000</v>
      </c>
      <c r="E25" s="6" t="n">
        <v>1820000</v>
      </c>
    </row>
    <row r="26" customFormat="false" ht="15" hidden="false" customHeight="true" outlineLevel="0" collapsed="false">
      <c r="A26" s="3" t="n">
        <v>2024</v>
      </c>
      <c r="B26" s="3" t="s">
        <v>14</v>
      </c>
      <c r="C26" s="3" t="s">
        <v>10</v>
      </c>
      <c r="D26" s="4" t="n">
        <v>384000000</v>
      </c>
      <c r="E26" s="4" t="n">
        <v>1344000</v>
      </c>
    </row>
    <row r="27" customFormat="false" ht="15" hidden="false" customHeight="true" outlineLevel="0" collapsed="false">
      <c r="A27" s="5" t="n">
        <v>2024</v>
      </c>
      <c r="B27" s="5" t="s">
        <v>15</v>
      </c>
      <c r="C27" s="5" t="s">
        <v>6</v>
      </c>
      <c r="D27" s="6" t="n">
        <v>1037000000</v>
      </c>
      <c r="E27" s="6" t="n">
        <v>3629500</v>
      </c>
    </row>
    <row r="28" customFormat="false" ht="15" hidden="false" customHeight="true" outlineLevel="0" collapsed="false">
      <c r="A28" s="3" t="n">
        <v>2024</v>
      </c>
      <c r="B28" s="3" t="s">
        <v>15</v>
      </c>
      <c r="C28" s="3" t="s">
        <v>7</v>
      </c>
      <c r="D28" s="4" t="n">
        <v>935000000</v>
      </c>
      <c r="E28" s="4" t="n">
        <v>3272500</v>
      </c>
    </row>
    <row r="29" customFormat="false" ht="15" hidden="false" customHeight="true" outlineLevel="0" collapsed="false">
      <c r="A29" s="5" t="n">
        <v>2024</v>
      </c>
      <c r="B29" s="5" t="s">
        <v>15</v>
      </c>
      <c r="C29" s="5" t="s">
        <v>8</v>
      </c>
      <c r="D29" s="6" t="n">
        <v>459000000</v>
      </c>
      <c r="E29" s="6" t="n">
        <v>1606500</v>
      </c>
    </row>
    <row r="30" customFormat="false" ht="15" hidden="false" customHeight="true" outlineLevel="0" collapsed="false">
      <c r="A30" s="3" t="n">
        <v>2024</v>
      </c>
      <c r="B30" s="3" t="s">
        <v>15</v>
      </c>
      <c r="C30" s="3" t="s">
        <v>9</v>
      </c>
      <c r="D30" s="4" t="n">
        <v>552500000</v>
      </c>
      <c r="E30" s="4" t="n">
        <v>1933750</v>
      </c>
    </row>
    <row r="31" customFormat="false" ht="15" hidden="false" customHeight="true" outlineLevel="0" collapsed="false">
      <c r="A31" s="5" t="n">
        <v>2024</v>
      </c>
      <c r="B31" s="5" t="s">
        <v>15</v>
      </c>
      <c r="C31" s="5" t="s">
        <v>10</v>
      </c>
      <c r="D31" s="6" t="n">
        <v>408000000</v>
      </c>
      <c r="E31" s="6" t="n">
        <v>1428000</v>
      </c>
    </row>
    <row r="32" customFormat="false" ht="15" hidden="false" customHeight="true" outlineLevel="0" collapsed="false">
      <c r="A32" s="3" t="n">
        <v>2024</v>
      </c>
      <c r="B32" s="3" t="s">
        <v>16</v>
      </c>
      <c r="C32" s="3" t="s">
        <v>6</v>
      </c>
      <c r="D32" s="4" t="n">
        <v>1122400000</v>
      </c>
      <c r="E32" s="4" t="n">
        <v>3928400</v>
      </c>
    </row>
    <row r="33" customFormat="false" ht="15" hidden="false" customHeight="true" outlineLevel="0" collapsed="false">
      <c r="A33" s="5" t="n">
        <v>2024</v>
      </c>
      <c r="B33" s="5" t="s">
        <v>16</v>
      </c>
      <c r="C33" s="5" t="s">
        <v>7</v>
      </c>
      <c r="D33" s="6" t="n">
        <v>1012000000</v>
      </c>
      <c r="E33" s="6" t="n">
        <v>3542000</v>
      </c>
    </row>
    <row r="34" customFormat="false" ht="15" hidden="false" customHeight="true" outlineLevel="0" collapsed="false">
      <c r="A34" s="3" t="n">
        <v>2024</v>
      </c>
      <c r="B34" s="3" t="s">
        <v>16</v>
      </c>
      <c r="C34" s="3" t="s">
        <v>8</v>
      </c>
      <c r="D34" s="4" t="n">
        <v>496800000</v>
      </c>
      <c r="E34" s="4" t="n">
        <v>1738800</v>
      </c>
    </row>
    <row r="35" customFormat="false" ht="15" hidden="false" customHeight="true" outlineLevel="0" collapsed="false">
      <c r="A35" s="5" t="n">
        <v>2024</v>
      </c>
      <c r="B35" s="5" t="s">
        <v>16</v>
      </c>
      <c r="C35" s="5" t="s">
        <v>9</v>
      </c>
      <c r="D35" s="6" t="n">
        <v>598000000</v>
      </c>
      <c r="E35" s="6" t="n">
        <v>2093000</v>
      </c>
    </row>
    <row r="36" customFormat="false" ht="15" hidden="false" customHeight="true" outlineLevel="0" collapsed="false">
      <c r="A36" s="3" t="n">
        <v>2024</v>
      </c>
      <c r="B36" s="3" t="s">
        <v>16</v>
      </c>
      <c r="C36" s="3" t="s">
        <v>10</v>
      </c>
      <c r="D36" s="4" t="n">
        <v>441600000</v>
      </c>
      <c r="E36" s="4" t="n">
        <v>1545600</v>
      </c>
    </row>
    <row r="37" customFormat="false" ht="15" hidden="false" customHeight="true" outlineLevel="0" collapsed="false">
      <c r="A37" s="5" t="n">
        <v>2024</v>
      </c>
      <c r="B37" s="5" t="s">
        <v>17</v>
      </c>
      <c r="C37" s="5" t="s">
        <v>6</v>
      </c>
      <c r="D37" s="6" t="n">
        <v>1098000000</v>
      </c>
      <c r="E37" s="6" t="n">
        <v>3843000</v>
      </c>
    </row>
    <row r="38" customFormat="false" ht="15" hidden="false" customHeight="true" outlineLevel="0" collapsed="false">
      <c r="A38" s="3" t="n">
        <v>2024</v>
      </c>
      <c r="B38" s="3" t="s">
        <v>17</v>
      </c>
      <c r="C38" s="3" t="s">
        <v>7</v>
      </c>
      <c r="D38" s="4" t="n">
        <v>990000000</v>
      </c>
      <c r="E38" s="4" t="n">
        <v>3465000</v>
      </c>
    </row>
    <row r="39" customFormat="false" ht="15" hidden="false" customHeight="true" outlineLevel="0" collapsed="false">
      <c r="A39" s="5" t="n">
        <v>2024</v>
      </c>
      <c r="B39" s="5" t="s">
        <v>17</v>
      </c>
      <c r="C39" s="5" t="s">
        <v>8</v>
      </c>
      <c r="D39" s="6" t="n">
        <v>486000000</v>
      </c>
      <c r="E39" s="6" t="n">
        <v>1701000</v>
      </c>
    </row>
    <row r="40" customFormat="false" ht="15" hidden="false" customHeight="true" outlineLevel="0" collapsed="false">
      <c r="A40" s="3" t="n">
        <v>2024</v>
      </c>
      <c r="B40" s="3" t="s">
        <v>17</v>
      </c>
      <c r="C40" s="3" t="s">
        <v>9</v>
      </c>
      <c r="D40" s="4" t="n">
        <v>585000000</v>
      </c>
      <c r="E40" s="4" t="n">
        <v>2047500</v>
      </c>
    </row>
    <row r="41" customFormat="false" ht="15" hidden="false" customHeight="true" outlineLevel="0" collapsed="false">
      <c r="A41" s="5" t="n">
        <v>2024</v>
      </c>
      <c r="B41" s="5" t="s">
        <v>17</v>
      </c>
      <c r="C41" s="5" t="s">
        <v>10</v>
      </c>
      <c r="D41" s="6" t="n">
        <v>432000000</v>
      </c>
      <c r="E41" s="6" t="n">
        <v>1512000</v>
      </c>
    </row>
    <row r="42" customFormat="false" ht="15" hidden="false" customHeight="true" outlineLevel="0" collapsed="false">
      <c r="A42" s="3" t="n">
        <v>2024</v>
      </c>
      <c r="B42" s="3" t="s">
        <v>18</v>
      </c>
      <c r="C42" s="3" t="s">
        <v>6</v>
      </c>
      <c r="D42" s="4" t="n">
        <v>1073600000</v>
      </c>
      <c r="E42" s="4" t="n">
        <v>3757600</v>
      </c>
    </row>
    <row r="43" customFormat="false" ht="15" hidden="false" customHeight="true" outlineLevel="0" collapsed="false">
      <c r="A43" s="5" t="n">
        <v>2024</v>
      </c>
      <c r="B43" s="5" t="s">
        <v>18</v>
      </c>
      <c r="C43" s="5" t="s">
        <v>7</v>
      </c>
      <c r="D43" s="6" t="n">
        <v>968000000</v>
      </c>
      <c r="E43" s="6" t="n">
        <v>3388000</v>
      </c>
    </row>
    <row r="44" customFormat="false" ht="15" hidden="false" customHeight="true" outlineLevel="0" collapsed="false">
      <c r="A44" s="3" t="n">
        <v>2024</v>
      </c>
      <c r="B44" s="3" t="s">
        <v>18</v>
      </c>
      <c r="C44" s="3" t="s">
        <v>8</v>
      </c>
      <c r="D44" s="4" t="n">
        <v>475200000</v>
      </c>
      <c r="E44" s="4" t="n">
        <v>1663200</v>
      </c>
    </row>
    <row r="45" customFormat="false" ht="15" hidden="false" customHeight="true" outlineLevel="0" collapsed="false">
      <c r="A45" s="5" t="n">
        <v>2024</v>
      </c>
      <c r="B45" s="5" t="s">
        <v>18</v>
      </c>
      <c r="C45" s="5" t="s">
        <v>9</v>
      </c>
      <c r="D45" s="6" t="n">
        <v>572000000</v>
      </c>
      <c r="E45" s="6" t="n">
        <v>2002000</v>
      </c>
    </row>
    <row r="46" customFormat="false" ht="15" hidden="false" customHeight="true" outlineLevel="0" collapsed="false">
      <c r="A46" s="3" t="n">
        <v>2024</v>
      </c>
      <c r="B46" s="3" t="s">
        <v>18</v>
      </c>
      <c r="C46" s="3" t="s">
        <v>10</v>
      </c>
      <c r="D46" s="4" t="n">
        <v>422400000</v>
      </c>
      <c r="E46" s="4" t="n">
        <v>1478400</v>
      </c>
    </row>
    <row r="47" customFormat="false" ht="15" hidden="false" customHeight="true" outlineLevel="0" collapsed="false">
      <c r="A47" s="5" t="n">
        <v>2024</v>
      </c>
      <c r="B47" s="5" t="s">
        <v>19</v>
      </c>
      <c r="C47" s="5" t="s">
        <v>6</v>
      </c>
      <c r="D47" s="6" t="n">
        <v>1159000000</v>
      </c>
      <c r="E47" s="6" t="n">
        <v>4056500</v>
      </c>
    </row>
    <row r="48" customFormat="false" ht="15" hidden="false" customHeight="true" outlineLevel="0" collapsed="false">
      <c r="A48" s="3" t="n">
        <v>2024</v>
      </c>
      <c r="B48" s="3" t="s">
        <v>19</v>
      </c>
      <c r="C48" s="3" t="s">
        <v>7</v>
      </c>
      <c r="D48" s="4" t="n">
        <v>1045000000</v>
      </c>
      <c r="E48" s="4" t="n">
        <v>3657500</v>
      </c>
    </row>
    <row r="49" customFormat="false" ht="15" hidden="false" customHeight="true" outlineLevel="0" collapsed="false">
      <c r="A49" s="5" t="n">
        <v>2024</v>
      </c>
      <c r="B49" s="5" t="s">
        <v>19</v>
      </c>
      <c r="C49" s="5" t="s">
        <v>8</v>
      </c>
      <c r="D49" s="6" t="n">
        <v>513000000</v>
      </c>
      <c r="E49" s="6" t="n">
        <v>1795500</v>
      </c>
    </row>
    <row r="50" customFormat="false" ht="15" hidden="false" customHeight="true" outlineLevel="0" collapsed="false">
      <c r="A50" s="3" t="n">
        <v>2024</v>
      </c>
      <c r="B50" s="3" t="s">
        <v>19</v>
      </c>
      <c r="C50" s="3" t="s">
        <v>9</v>
      </c>
      <c r="D50" s="4" t="n">
        <v>617500000</v>
      </c>
      <c r="E50" s="4" t="n">
        <v>2161250</v>
      </c>
    </row>
    <row r="51" customFormat="false" ht="15" hidden="false" customHeight="true" outlineLevel="0" collapsed="false">
      <c r="A51" s="5" t="n">
        <v>2024</v>
      </c>
      <c r="B51" s="5" t="s">
        <v>19</v>
      </c>
      <c r="C51" s="5" t="s">
        <v>10</v>
      </c>
      <c r="D51" s="6" t="n">
        <v>456000000</v>
      </c>
      <c r="E51" s="6" t="n">
        <v>1596000</v>
      </c>
    </row>
    <row r="52" customFormat="false" ht="15" hidden="false" customHeight="true" outlineLevel="0" collapsed="false">
      <c r="A52" s="3" t="n">
        <v>2024</v>
      </c>
      <c r="B52" s="3" t="s">
        <v>20</v>
      </c>
      <c r="C52" s="3" t="s">
        <v>6</v>
      </c>
      <c r="D52" s="4" t="n">
        <v>1281000000</v>
      </c>
      <c r="E52" s="4" t="n">
        <v>4483500</v>
      </c>
    </row>
    <row r="53" customFormat="false" ht="15" hidden="false" customHeight="true" outlineLevel="0" collapsed="false">
      <c r="A53" s="5" t="n">
        <v>2024</v>
      </c>
      <c r="B53" s="5" t="s">
        <v>20</v>
      </c>
      <c r="C53" s="5" t="s">
        <v>7</v>
      </c>
      <c r="D53" s="6" t="n">
        <v>1155000000</v>
      </c>
      <c r="E53" s="6" t="n">
        <v>4042500</v>
      </c>
    </row>
    <row r="54" customFormat="false" ht="15" hidden="false" customHeight="true" outlineLevel="0" collapsed="false">
      <c r="A54" s="3" t="n">
        <v>2024</v>
      </c>
      <c r="B54" s="3" t="s">
        <v>20</v>
      </c>
      <c r="C54" s="3" t="s">
        <v>8</v>
      </c>
      <c r="D54" s="4" t="n">
        <v>567000000</v>
      </c>
      <c r="E54" s="4" t="n">
        <v>1984500</v>
      </c>
    </row>
    <row r="55" customFormat="false" ht="15" hidden="false" customHeight="true" outlineLevel="0" collapsed="false">
      <c r="A55" s="5" t="n">
        <v>2024</v>
      </c>
      <c r="B55" s="5" t="s">
        <v>20</v>
      </c>
      <c r="C55" s="5" t="s">
        <v>9</v>
      </c>
      <c r="D55" s="6" t="n">
        <v>682500000</v>
      </c>
      <c r="E55" s="6" t="n">
        <v>2388750</v>
      </c>
    </row>
    <row r="56" customFormat="false" ht="15" hidden="false" customHeight="true" outlineLevel="0" collapsed="false">
      <c r="A56" s="3" t="n">
        <v>2024</v>
      </c>
      <c r="B56" s="3" t="s">
        <v>20</v>
      </c>
      <c r="C56" s="3" t="s">
        <v>10</v>
      </c>
      <c r="D56" s="4" t="n">
        <v>504000000</v>
      </c>
      <c r="E56" s="4" t="n">
        <v>1764000</v>
      </c>
    </row>
    <row r="57" customFormat="false" ht="15" hidden="false" customHeight="true" outlineLevel="0" collapsed="false">
      <c r="A57" s="5" t="n">
        <v>2024</v>
      </c>
      <c r="B57" s="5" t="s">
        <v>21</v>
      </c>
      <c r="C57" s="5" t="s">
        <v>6</v>
      </c>
      <c r="D57" s="6" t="n">
        <v>1403000000</v>
      </c>
      <c r="E57" s="6" t="n">
        <v>4910500</v>
      </c>
    </row>
    <row r="58" customFormat="false" ht="15" hidden="false" customHeight="true" outlineLevel="0" collapsed="false">
      <c r="A58" s="3" t="n">
        <v>2024</v>
      </c>
      <c r="B58" s="3" t="s">
        <v>21</v>
      </c>
      <c r="C58" s="3" t="s">
        <v>7</v>
      </c>
      <c r="D58" s="4" t="n">
        <v>1265000000</v>
      </c>
      <c r="E58" s="4" t="n">
        <v>4427500</v>
      </c>
    </row>
    <row r="59" customFormat="false" ht="15" hidden="false" customHeight="true" outlineLevel="0" collapsed="false">
      <c r="A59" s="5" t="n">
        <v>2024</v>
      </c>
      <c r="B59" s="5" t="s">
        <v>21</v>
      </c>
      <c r="C59" s="5" t="s">
        <v>8</v>
      </c>
      <c r="D59" s="6" t="n">
        <v>621000000</v>
      </c>
      <c r="E59" s="6" t="n">
        <v>2173500</v>
      </c>
    </row>
    <row r="60" customFormat="false" ht="15" hidden="false" customHeight="true" outlineLevel="0" collapsed="false">
      <c r="A60" s="3" t="n">
        <v>2024</v>
      </c>
      <c r="B60" s="3" t="s">
        <v>21</v>
      </c>
      <c r="C60" s="3" t="s">
        <v>9</v>
      </c>
      <c r="D60" s="4" t="n">
        <v>747500000</v>
      </c>
      <c r="E60" s="4" t="n">
        <v>2616250</v>
      </c>
    </row>
    <row r="61" customFormat="false" ht="15" hidden="false" customHeight="true" outlineLevel="0" collapsed="false">
      <c r="A61" s="5" t="n">
        <v>2024</v>
      </c>
      <c r="B61" s="5" t="s">
        <v>21</v>
      </c>
      <c r="C61" s="5" t="s">
        <v>10</v>
      </c>
      <c r="D61" s="6" t="n">
        <v>552000000</v>
      </c>
      <c r="E61" s="6" t="n">
        <v>1932000</v>
      </c>
    </row>
    <row r="62" customFormat="false" ht="15" hidden="false" customHeight="true" outlineLevel="0" collapsed="false">
      <c r="A62" s="3" t="n">
        <v>2025</v>
      </c>
      <c r="B62" s="3" t="s">
        <v>5</v>
      </c>
      <c r="C62" s="3" t="s">
        <v>6</v>
      </c>
      <c r="D62" s="4" t="n">
        <v>1205360000</v>
      </c>
      <c r="E62" s="4" t="n">
        <v>4218760</v>
      </c>
    </row>
    <row r="63" customFormat="false" ht="15" hidden="false" customHeight="true" outlineLevel="0" collapsed="false">
      <c r="A63" s="5" t="n">
        <v>2025</v>
      </c>
      <c r="B63" s="5" t="s">
        <v>5</v>
      </c>
      <c r="C63" s="5" t="s">
        <v>7</v>
      </c>
      <c r="D63" s="6" t="n">
        <v>1082620000</v>
      </c>
      <c r="E63" s="6" t="n">
        <v>3789170</v>
      </c>
    </row>
    <row r="64" customFormat="false" ht="15" hidden="false" customHeight="true" outlineLevel="0" collapsed="false">
      <c r="A64" s="3" t="n">
        <v>2025</v>
      </c>
      <c r="B64" s="3" t="s">
        <v>5</v>
      </c>
      <c r="C64" s="3" t="s">
        <v>8</v>
      </c>
      <c r="D64" s="4" t="n">
        <v>529416000</v>
      </c>
      <c r="E64" s="4" t="n">
        <v>1852956</v>
      </c>
    </row>
    <row r="65" customFormat="false" ht="15" hidden="false" customHeight="true" outlineLevel="0" collapsed="false">
      <c r="A65" s="5" t="n">
        <v>2025</v>
      </c>
      <c r="B65" s="5" t="s">
        <v>5</v>
      </c>
      <c r="C65" s="5" t="s">
        <v>9</v>
      </c>
      <c r="D65" s="6" t="n">
        <v>640965000</v>
      </c>
      <c r="E65" s="6" t="n">
        <v>2243377.5</v>
      </c>
    </row>
    <row r="66" customFormat="false" ht="15" hidden="false" customHeight="true" outlineLevel="0" collapsed="false">
      <c r="A66" s="3" t="n">
        <v>2025</v>
      </c>
      <c r="B66" s="3" t="s">
        <v>5</v>
      </c>
      <c r="C66" s="3" t="s">
        <v>10</v>
      </c>
      <c r="D66" s="4" t="n">
        <v>471960000</v>
      </c>
      <c r="E66" s="4" t="n">
        <v>1651860</v>
      </c>
    </row>
    <row r="67" customFormat="false" ht="15" hidden="false" customHeight="true" outlineLevel="0" collapsed="false">
      <c r="A67" s="5" t="n">
        <v>2025</v>
      </c>
      <c r="B67" s="5" t="s">
        <v>11</v>
      </c>
      <c r="C67" s="5" t="s">
        <v>6</v>
      </c>
      <c r="D67" s="6" t="n">
        <v>1116544000</v>
      </c>
      <c r="E67" s="6" t="n">
        <v>3907904</v>
      </c>
    </row>
    <row r="68" customFormat="false" ht="15" hidden="false" customHeight="true" outlineLevel="0" collapsed="false">
      <c r="A68" s="3" t="n">
        <v>2025</v>
      </c>
      <c r="B68" s="3" t="s">
        <v>11</v>
      </c>
      <c r="C68" s="3" t="s">
        <v>7</v>
      </c>
      <c r="D68" s="4" t="n">
        <v>1002848000</v>
      </c>
      <c r="E68" s="4" t="n">
        <v>3509968</v>
      </c>
    </row>
    <row r="69" customFormat="false" ht="15" hidden="false" customHeight="true" outlineLevel="0" collapsed="false">
      <c r="A69" s="5" t="n">
        <v>2025</v>
      </c>
      <c r="B69" s="5" t="s">
        <v>11</v>
      </c>
      <c r="C69" s="5" t="s">
        <v>8</v>
      </c>
      <c r="D69" s="6" t="n">
        <v>490406400</v>
      </c>
      <c r="E69" s="6" t="n">
        <v>1716422.4</v>
      </c>
    </row>
    <row r="70" customFormat="false" ht="15" hidden="false" customHeight="true" outlineLevel="0" collapsed="false">
      <c r="A70" s="3" t="n">
        <v>2025</v>
      </c>
      <c r="B70" s="3" t="s">
        <v>11</v>
      </c>
      <c r="C70" s="3" t="s">
        <v>9</v>
      </c>
      <c r="D70" s="4" t="n">
        <v>593736000</v>
      </c>
      <c r="E70" s="4" t="n">
        <v>2078076</v>
      </c>
    </row>
    <row r="71" customFormat="false" ht="15" hidden="false" customHeight="true" outlineLevel="0" collapsed="false">
      <c r="A71" s="5" t="n">
        <v>2025</v>
      </c>
      <c r="B71" s="5" t="s">
        <v>11</v>
      </c>
      <c r="C71" s="5" t="s">
        <v>10</v>
      </c>
      <c r="D71" s="6" t="n">
        <v>437184000</v>
      </c>
      <c r="E71" s="6" t="n">
        <v>1530144</v>
      </c>
    </row>
    <row r="72" customFormat="false" ht="15" hidden="false" customHeight="true" outlineLevel="0" collapsed="false">
      <c r="A72" s="3" t="n">
        <v>2025</v>
      </c>
      <c r="B72" s="3" t="s">
        <v>12</v>
      </c>
      <c r="C72" s="3" t="s">
        <v>6</v>
      </c>
      <c r="D72" s="4" t="n">
        <v>1141920000</v>
      </c>
      <c r="E72" s="4" t="n">
        <v>3996720</v>
      </c>
    </row>
    <row r="73" customFormat="false" ht="15" hidden="false" customHeight="true" outlineLevel="0" collapsed="false">
      <c r="A73" s="5" t="n">
        <v>2025</v>
      </c>
      <c r="B73" s="5" t="s">
        <v>12</v>
      </c>
      <c r="C73" s="5" t="s">
        <v>7</v>
      </c>
      <c r="D73" s="6" t="n">
        <v>1025640000</v>
      </c>
      <c r="E73" s="6" t="n">
        <v>3589740</v>
      </c>
    </row>
    <row r="74" customFormat="false" ht="15" hidden="false" customHeight="true" outlineLevel="0" collapsed="false">
      <c r="A74" s="3" t="n">
        <v>2025</v>
      </c>
      <c r="B74" s="3" t="s">
        <v>12</v>
      </c>
      <c r="C74" s="3" t="s">
        <v>8</v>
      </c>
      <c r="D74" s="4" t="n">
        <v>501552000</v>
      </c>
      <c r="E74" s="4" t="n">
        <v>1755432</v>
      </c>
    </row>
    <row r="75" customFormat="false" ht="15" hidden="false" customHeight="true" outlineLevel="0" collapsed="false">
      <c r="A75" s="5" t="n">
        <v>2025</v>
      </c>
      <c r="B75" s="5" t="s">
        <v>12</v>
      </c>
      <c r="C75" s="5" t="s">
        <v>9</v>
      </c>
      <c r="D75" s="6" t="n">
        <v>607230000</v>
      </c>
      <c r="E75" s="6" t="n">
        <v>2125305</v>
      </c>
    </row>
    <row r="76" customFormat="false" ht="15" hidden="false" customHeight="true" outlineLevel="0" collapsed="false">
      <c r="A76" s="3" t="n">
        <v>2025</v>
      </c>
      <c r="B76" s="3" t="s">
        <v>12</v>
      </c>
      <c r="C76" s="3" t="s">
        <v>10</v>
      </c>
      <c r="D76" s="4" t="n">
        <v>447120000</v>
      </c>
      <c r="E76" s="4" t="n">
        <v>1564920</v>
      </c>
    </row>
    <row r="77" customFormat="false" ht="15" hidden="false" customHeight="true" outlineLevel="0" collapsed="false">
      <c r="A77" s="5" t="n">
        <v>2025</v>
      </c>
      <c r="B77" s="5" t="s">
        <v>13</v>
      </c>
      <c r="C77" s="5" t="s">
        <v>6</v>
      </c>
      <c r="D77" s="6" t="n">
        <v>1040416000</v>
      </c>
      <c r="E77" s="6" t="n">
        <v>3641456</v>
      </c>
    </row>
    <row r="78" customFormat="false" ht="15" hidden="false" customHeight="true" outlineLevel="0" collapsed="false">
      <c r="A78" s="3" t="n">
        <v>2025</v>
      </c>
      <c r="B78" s="3" t="s">
        <v>13</v>
      </c>
      <c r="C78" s="3" t="s">
        <v>7</v>
      </c>
      <c r="D78" s="4" t="n">
        <v>934472000</v>
      </c>
      <c r="E78" s="4" t="n">
        <v>3270652</v>
      </c>
    </row>
    <row r="79" customFormat="false" ht="15" hidden="false" customHeight="true" outlineLevel="0" collapsed="false">
      <c r="A79" s="5" t="n">
        <v>2025</v>
      </c>
      <c r="B79" s="5" t="s">
        <v>13</v>
      </c>
      <c r="C79" s="5" t="s">
        <v>8</v>
      </c>
      <c r="D79" s="6" t="n">
        <v>456969600</v>
      </c>
      <c r="E79" s="6" t="n">
        <v>1599393.6</v>
      </c>
    </row>
    <row r="80" customFormat="false" ht="15" hidden="false" customHeight="true" outlineLevel="0" collapsed="false">
      <c r="A80" s="3" t="n">
        <v>2025</v>
      </c>
      <c r="B80" s="3" t="s">
        <v>13</v>
      </c>
      <c r="C80" s="3" t="s">
        <v>9</v>
      </c>
      <c r="D80" s="4" t="n">
        <v>553254000</v>
      </c>
      <c r="E80" s="4" t="n">
        <v>1936389</v>
      </c>
    </row>
    <row r="81" customFormat="false" ht="15" hidden="false" customHeight="true" outlineLevel="0" collapsed="false">
      <c r="A81" s="5" t="n">
        <v>2025</v>
      </c>
      <c r="B81" s="5" t="s">
        <v>13</v>
      </c>
      <c r="C81" s="5" t="s">
        <v>10</v>
      </c>
      <c r="D81" s="6" t="n">
        <v>407376000</v>
      </c>
      <c r="E81" s="6" t="n">
        <v>1425816</v>
      </c>
    </row>
    <row r="82" customFormat="false" ht="15" hidden="false" customHeight="true" outlineLevel="0" collapsed="false">
      <c r="A82" s="3" t="n">
        <v>2025</v>
      </c>
      <c r="B82" s="3" t="s">
        <v>14</v>
      </c>
      <c r="C82" s="3" t="s">
        <v>6</v>
      </c>
      <c r="D82" s="4" t="n">
        <v>1015040000</v>
      </c>
      <c r="E82" s="4" t="n">
        <v>3552640</v>
      </c>
    </row>
    <row r="83" customFormat="false" ht="15" hidden="false" customHeight="true" outlineLevel="0" collapsed="false">
      <c r="A83" s="5" t="n">
        <v>2025</v>
      </c>
      <c r="B83" s="5" t="s">
        <v>14</v>
      </c>
      <c r="C83" s="5" t="s">
        <v>7</v>
      </c>
      <c r="D83" s="6" t="n">
        <v>911680000</v>
      </c>
      <c r="E83" s="6" t="n">
        <v>3190880</v>
      </c>
    </row>
    <row r="84" customFormat="false" ht="15" hidden="false" customHeight="true" outlineLevel="0" collapsed="false">
      <c r="A84" s="3" t="n">
        <v>2025</v>
      </c>
      <c r="B84" s="3" t="s">
        <v>14</v>
      </c>
      <c r="C84" s="3" t="s">
        <v>8</v>
      </c>
      <c r="D84" s="4" t="n">
        <v>445824000</v>
      </c>
      <c r="E84" s="4" t="n">
        <v>1560384</v>
      </c>
    </row>
    <row r="85" customFormat="false" ht="15" hidden="false" customHeight="true" outlineLevel="0" collapsed="false">
      <c r="A85" s="5" t="n">
        <v>2025</v>
      </c>
      <c r="B85" s="5" t="s">
        <v>14</v>
      </c>
      <c r="C85" s="5" t="s">
        <v>9</v>
      </c>
      <c r="D85" s="6" t="n">
        <v>539760000</v>
      </c>
      <c r="E85" s="6" t="n">
        <v>1889160</v>
      </c>
    </row>
    <row r="86" customFormat="false" ht="15" hidden="false" customHeight="true" outlineLevel="0" collapsed="false">
      <c r="A86" s="3" t="n">
        <v>2025</v>
      </c>
      <c r="B86" s="3" t="s">
        <v>14</v>
      </c>
      <c r="C86" s="3" t="s">
        <v>10</v>
      </c>
      <c r="D86" s="4" t="n">
        <v>397440000</v>
      </c>
      <c r="E86" s="4" t="n">
        <v>1391040</v>
      </c>
    </row>
    <row r="87" customFormat="false" ht="15" hidden="false" customHeight="true" outlineLevel="0" collapsed="false">
      <c r="A87" s="5" t="n">
        <v>2025</v>
      </c>
      <c r="B87" s="5" t="s">
        <v>15</v>
      </c>
      <c r="C87" s="5" t="s">
        <v>6</v>
      </c>
      <c r="D87" s="6" t="n">
        <v>1078480000</v>
      </c>
      <c r="E87" s="6" t="n">
        <v>3774680</v>
      </c>
    </row>
    <row r="88" customFormat="false" ht="15" hidden="false" customHeight="true" outlineLevel="0" collapsed="false">
      <c r="A88" s="3" t="n">
        <v>2025</v>
      </c>
      <c r="B88" s="3" t="s">
        <v>15</v>
      </c>
      <c r="C88" s="3" t="s">
        <v>7</v>
      </c>
      <c r="D88" s="4" t="n">
        <v>968660000</v>
      </c>
      <c r="E88" s="4" t="n">
        <v>3390310</v>
      </c>
    </row>
    <row r="89" customFormat="false" ht="15" hidden="false" customHeight="true" outlineLevel="0" collapsed="false">
      <c r="A89" s="5" t="n">
        <v>2025</v>
      </c>
      <c r="B89" s="5" t="s">
        <v>15</v>
      </c>
      <c r="C89" s="5" t="s">
        <v>8</v>
      </c>
      <c r="D89" s="6" t="n">
        <v>473688000</v>
      </c>
      <c r="E89" s="6" t="n">
        <v>1657908</v>
      </c>
    </row>
    <row r="90" customFormat="false" ht="15" hidden="false" customHeight="true" outlineLevel="0" collapsed="false">
      <c r="A90" s="3" t="n">
        <v>2025</v>
      </c>
      <c r="B90" s="3" t="s">
        <v>15</v>
      </c>
      <c r="C90" s="3" t="s">
        <v>9</v>
      </c>
      <c r="D90" s="4" t="n">
        <v>573495000</v>
      </c>
      <c r="E90" s="4" t="n">
        <v>2007232.5</v>
      </c>
    </row>
    <row r="91" customFormat="false" ht="15" hidden="false" customHeight="true" outlineLevel="0" collapsed="false">
      <c r="A91" s="5" t="n">
        <v>2025</v>
      </c>
      <c r="B91" s="5" t="s">
        <v>15</v>
      </c>
      <c r="C91" s="5" t="s">
        <v>10</v>
      </c>
      <c r="D91" s="6" t="n">
        <v>422280000</v>
      </c>
      <c r="E91" s="6" t="n">
        <v>1477980</v>
      </c>
    </row>
    <row r="92" customFormat="false" ht="15" hidden="false" customHeight="true" outlineLevel="0" collapsed="false">
      <c r="A92" s="3" t="n">
        <v>2025</v>
      </c>
      <c r="B92" s="3" t="s">
        <v>16</v>
      </c>
      <c r="C92" s="3" t="s">
        <v>6</v>
      </c>
      <c r="D92" s="4" t="n">
        <v>1167296000</v>
      </c>
      <c r="E92" s="4" t="n">
        <v>4085536</v>
      </c>
    </row>
    <row r="93" customFormat="false" ht="15" hidden="false" customHeight="true" outlineLevel="0" collapsed="false">
      <c r="A93" s="5" t="n">
        <v>2025</v>
      </c>
      <c r="B93" s="5" t="s">
        <v>16</v>
      </c>
      <c r="C93" s="5" t="s">
        <v>7</v>
      </c>
      <c r="D93" s="6" t="n">
        <v>1048432000</v>
      </c>
      <c r="E93" s="6" t="n">
        <v>3669512</v>
      </c>
    </row>
    <row r="94" customFormat="false" ht="15" hidden="false" customHeight="true" outlineLevel="0" collapsed="false">
      <c r="A94" s="3" t="n">
        <v>2025</v>
      </c>
      <c r="B94" s="3" t="s">
        <v>16</v>
      </c>
      <c r="C94" s="3" t="s">
        <v>8</v>
      </c>
      <c r="D94" s="4" t="n">
        <v>512697600</v>
      </c>
      <c r="E94" s="4" t="n">
        <v>1794441.6</v>
      </c>
    </row>
    <row r="95" customFormat="false" ht="15" hidden="false" customHeight="true" outlineLevel="0" collapsed="false">
      <c r="A95" s="5" t="n">
        <v>2025</v>
      </c>
      <c r="B95" s="5" t="s">
        <v>16</v>
      </c>
      <c r="C95" s="5" t="s">
        <v>9</v>
      </c>
      <c r="D95" s="6" t="n">
        <v>620724000</v>
      </c>
      <c r="E95" s="6" t="n">
        <v>2172534</v>
      </c>
    </row>
    <row r="96" customFormat="false" ht="15" hidden="false" customHeight="true" outlineLevel="0" collapsed="false">
      <c r="A96" s="3" t="n">
        <v>2025</v>
      </c>
      <c r="B96" s="3" t="s">
        <v>16</v>
      </c>
      <c r="C96" s="3" t="s">
        <v>10</v>
      </c>
      <c r="D96" s="4" t="n">
        <v>457056000</v>
      </c>
      <c r="E96" s="4" t="n">
        <v>1599696</v>
      </c>
    </row>
    <row r="97" customFormat="false" ht="15" hidden="false" customHeight="true" outlineLevel="0" collapsed="false">
      <c r="A97" s="5" t="n">
        <v>2025</v>
      </c>
      <c r="B97" s="5" t="s">
        <v>17</v>
      </c>
      <c r="C97" s="5" t="s">
        <v>6</v>
      </c>
      <c r="D97" s="6" t="n">
        <v>1141920000</v>
      </c>
      <c r="E97" s="6" t="n">
        <v>3996720</v>
      </c>
    </row>
    <row r="98" customFormat="false" ht="15" hidden="false" customHeight="true" outlineLevel="0" collapsed="false">
      <c r="A98" s="3" t="n">
        <v>2025</v>
      </c>
      <c r="B98" s="3" t="s">
        <v>17</v>
      </c>
      <c r="C98" s="3" t="s">
        <v>7</v>
      </c>
      <c r="D98" s="4" t="n">
        <v>1025640000</v>
      </c>
      <c r="E98" s="4" t="n">
        <v>3589740</v>
      </c>
    </row>
    <row r="99" customFormat="false" ht="15" hidden="false" customHeight="true" outlineLevel="0" collapsed="false">
      <c r="A99" s="5" t="n">
        <v>2025</v>
      </c>
      <c r="B99" s="5" t="s">
        <v>17</v>
      </c>
      <c r="C99" s="5" t="s">
        <v>8</v>
      </c>
      <c r="D99" s="6" t="n">
        <v>501552000</v>
      </c>
      <c r="E99" s="6" t="n">
        <v>1755432</v>
      </c>
    </row>
    <row r="100" customFormat="false" ht="15" hidden="false" customHeight="true" outlineLevel="0" collapsed="false">
      <c r="A100" s="3" t="n">
        <v>2025</v>
      </c>
      <c r="B100" s="3" t="s">
        <v>17</v>
      </c>
      <c r="C100" s="3" t="s">
        <v>9</v>
      </c>
      <c r="D100" s="4" t="n">
        <v>607230000</v>
      </c>
      <c r="E100" s="4" t="n">
        <v>2125305</v>
      </c>
    </row>
    <row r="101" customFormat="false" ht="15" hidden="false" customHeight="true" outlineLevel="0" collapsed="false">
      <c r="A101" s="5" t="n">
        <v>2025</v>
      </c>
      <c r="B101" s="5" t="s">
        <v>17</v>
      </c>
      <c r="C101" s="5" t="s">
        <v>10</v>
      </c>
      <c r="D101" s="6" t="n">
        <v>447120000</v>
      </c>
      <c r="E101" s="6" t="n">
        <v>1564920</v>
      </c>
    </row>
    <row r="102" customFormat="false" ht="15" hidden="false" customHeight="true" outlineLevel="0" collapsed="false">
      <c r="A102" s="3" t="n">
        <v>2025</v>
      </c>
      <c r="B102" s="3" t="s">
        <v>18</v>
      </c>
      <c r="C102" s="3" t="s">
        <v>6</v>
      </c>
      <c r="D102" s="4" t="n">
        <v>1116544000</v>
      </c>
      <c r="E102" s="4" t="n">
        <v>3907904</v>
      </c>
    </row>
    <row r="103" customFormat="false" ht="15" hidden="false" customHeight="true" outlineLevel="0" collapsed="false">
      <c r="A103" s="5" t="n">
        <v>2025</v>
      </c>
      <c r="B103" s="5" t="s">
        <v>18</v>
      </c>
      <c r="C103" s="5" t="s">
        <v>7</v>
      </c>
      <c r="D103" s="6" t="n">
        <v>1002848000</v>
      </c>
      <c r="E103" s="6" t="n">
        <v>3509968</v>
      </c>
    </row>
    <row r="104" customFormat="false" ht="15" hidden="false" customHeight="true" outlineLevel="0" collapsed="false">
      <c r="A104" s="3" t="n">
        <v>2025</v>
      </c>
      <c r="B104" s="3" t="s">
        <v>18</v>
      </c>
      <c r="C104" s="3" t="s">
        <v>8</v>
      </c>
      <c r="D104" s="4" t="n">
        <v>490406400</v>
      </c>
      <c r="E104" s="4" t="n">
        <v>1716422.4</v>
      </c>
    </row>
    <row r="105" customFormat="false" ht="15" hidden="false" customHeight="true" outlineLevel="0" collapsed="false">
      <c r="A105" s="5" t="n">
        <v>2025</v>
      </c>
      <c r="B105" s="5" t="s">
        <v>18</v>
      </c>
      <c r="C105" s="5" t="s">
        <v>9</v>
      </c>
      <c r="D105" s="6" t="n">
        <v>593736000</v>
      </c>
      <c r="E105" s="6" t="n">
        <v>2078076</v>
      </c>
    </row>
    <row r="106" customFormat="false" ht="15" hidden="false" customHeight="true" outlineLevel="0" collapsed="false">
      <c r="A106" s="3" t="n">
        <v>2025</v>
      </c>
      <c r="B106" s="3" t="s">
        <v>18</v>
      </c>
      <c r="C106" s="3" t="s">
        <v>10</v>
      </c>
      <c r="D106" s="4" t="n">
        <v>437184000</v>
      </c>
      <c r="E106" s="4" t="n">
        <v>1530144</v>
      </c>
    </row>
    <row r="107" customFormat="false" ht="15" hidden="false" customHeight="true" outlineLevel="0" collapsed="false">
      <c r="A107" s="5" t="n">
        <v>2025</v>
      </c>
      <c r="B107" s="5" t="s">
        <v>19</v>
      </c>
      <c r="C107" s="5" t="s">
        <v>6</v>
      </c>
      <c r="D107" s="6" t="n">
        <v>1205360000</v>
      </c>
      <c r="E107" s="6" t="n">
        <v>4218760</v>
      </c>
    </row>
    <row r="108" customFormat="false" ht="15" hidden="false" customHeight="true" outlineLevel="0" collapsed="false">
      <c r="A108" s="3" t="n">
        <v>2025</v>
      </c>
      <c r="B108" s="3" t="s">
        <v>19</v>
      </c>
      <c r="C108" s="3" t="s">
        <v>7</v>
      </c>
      <c r="D108" s="4" t="n">
        <v>1082620000</v>
      </c>
      <c r="E108" s="4" t="n">
        <v>3789170</v>
      </c>
    </row>
    <row r="109" customFormat="false" ht="15" hidden="false" customHeight="true" outlineLevel="0" collapsed="false">
      <c r="A109" s="5" t="n">
        <v>2025</v>
      </c>
      <c r="B109" s="5" t="s">
        <v>19</v>
      </c>
      <c r="C109" s="5" t="s">
        <v>8</v>
      </c>
      <c r="D109" s="6" t="n">
        <v>529416000</v>
      </c>
      <c r="E109" s="6" t="n">
        <v>1852956</v>
      </c>
    </row>
    <row r="110" customFormat="false" ht="15" hidden="false" customHeight="true" outlineLevel="0" collapsed="false">
      <c r="A110" s="3" t="n">
        <v>2025</v>
      </c>
      <c r="B110" s="3" t="s">
        <v>19</v>
      </c>
      <c r="C110" s="3" t="s">
        <v>9</v>
      </c>
      <c r="D110" s="4" t="n">
        <v>640965000</v>
      </c>
      <c r="E110" s="4" t="n">
        <v>2243377.5</v>
      </c>
    </row>
    <row r="111" customFormat="false" ht="15" hidden="false" customHeight="true" outlineLevel="0" collapsed="false">
      <c r="A111" s="5" t="n">
        <v>2025</v>
      </c>
      <c r="B111" s="5" t="s">
        <v>19</v>
      </c>
      <c r="C111" s="5" t="s">
        <v>10</v>
      </c>
      <c r="D111" s="6" t="n">
        <v>471960000</v>
      </c>
      <c r="E111" s="6" t="n">
        <v>1651860</v>
      </c>
    </row>
    <row r="112" customFormat="false" ht="15" hidden="false" customHeight="true" outlineLevel="0" collapsed="false">
      <c r="A112" s="3" t="n">
        <v>2025</v>
      </c>
      <c r="B112" s="3" t="s">
        <v>20</v>
      </c>
      <c r="C112" s="3" t="s">
        <v>6</v>
      </c>
      <c r="D112" s="4" t="n">
        <v>1332240000</v>
      </c>
      <c r="E112" s="4" t="n">
        <v>4662840</v>
      </c>
    </row>
    <row r="113" customFormat="false" ht="15" hidden="false" customHeight="true" outlineLevel="0" collapsed="false">
      <c r="A113" s="5" t="n">
        <v>2025</v>
      </c>
      <c r="B113" s="5" t="s">
        <v>20</v>
      </c>
      <c r="C113" s="5" t="s">
        <v>7</v>
      </c>
      <c r="D113" s="6" t="n">
        <v>1196580000</v>
      </c>
      <c r="E113" s="6" t="n">
        <v>4188030</v>
      </c>
    </row>
    <row r="114" customFormat="false" ht="15" hidden="false" customHeight="true" outlineLevel="0" collapsed="false">
      <c r="A114" s="3" t="n">
        <v>2025</v>
      </c>
      <c r="B114" s="3" t="s">
        <v>20</v>
      </c>
      <c r="C114" s="3" t="s">
        <v>8</v>
      </c>
      <c r="D114" s="4" t="n">
        <v>585144000</v>
      </c>
      <c r="E114" s="4" t="n">
        <v>2048004</v>
      </c>
    </row>
    <row r="115" customFormat="false" ht="15" hidden="false" customHeight="true" outlineLevel="0" collapsed="false">
      <c r="A115" s="5" t="n">
        <v>2025</v>
      </c>
      <c r="B115" s="5" t="s">
        <v>20</v>
      </c>
      <c r="C115" s="5" t="s">
        <v>9</v>
      </c>
      <c r="D115" s="6" t="n">
        <v>708435000</v>
      </c>
      <c r="E115" s="6" t="n">
        <v>2479522.5</v>
      </c>
    </row>
    <row r="116" customFormat="false" ht="15" hidden="false" customHeight="true" outlineLevel="0" collapsed="false">
      <c r="A116" s="3" t="n">
        <v>2025</v>
      </c>
      <c r="B116" s="3" t="s">
        <v>20</v>
      </c>
      <c r="C116" s="3" t="s">
        <v>10</v>
      </c>
      <c r="D116" s="4" t="n">
        <v>521640000</v>
      </c>
      <c r="E116" s="4" t="n">
        <v>1825740</v>
      </c>
    </row>
    <row r="117" customFormat="false" ht="15" hidden="false" customHeight="true" outlineLevel="0" collapsed="false">
      <c r="A117" s="5" t="n">
        <v>2025</v>
      </c>
      <c r="B117" s="5" t="s">
        <v>21</v>
      </c>
      <c r="C117" s="5" t="s">
        <v>6</v>
      </c>
      <c r="D117" s="6" t="n">
        <v>1459120000</v>
      </c>
      <c r="E117" s="6" t="n">
        <v>5106920</v>
      </c>
    </row>
    <row r="118" customFormat="false" ht="15" hidden="false" customHeight="true" outlineLevel="0" collapsed="false">
      <c r="A118" s="3" t="n">
        <v>2025</v>
      </c>
      <c r="B118" s="3" t="s">
        <v>21</v>
      </c>
      <c r="C118" s="3" t="s">
        <v>7</v>
      </c>
      <c r="D118" s="4" t="n">
        <v>1310540000</v>
      </c>
      <c r="E118" s="4" t="n">
        <v>4586890</v>
      </c>
    </row>
    <row r="119" customFormat="false" ht="15" hidden="false" customHeight="true" outlineLevel="0" collapsed="false">
      <c r="A119" s="5" t="n">
        <v>2025</v>
      </c>
      <c r="B119" s="5" t="s">
        <v>21</v>
      </c>
      <c r="C119" s="5" t="s">
        <v>8</v>
      </c>
      <c r="D119" s="6" t="n">
        <v>640872000</v>
      </c>
      <c r="E119" s="6" t="n">
        <v>2243052</v>
      </c>
    </row>
    <row r="120" customFormat="false" ht="15" hidden="false" customHeight="true" outlineLevel="0" collapsed="false">
      <c r="A120" s="3" t="n">
        <v>2025</v>
      </c>
      <c r="B120" s="3" t="s">
        <v>21</v>
      </c>
      <c r="C120" s="3" t="s">
        <v>9</v>
      </c>
      <c r="D120" s="4" t="n">
        <v>775905000</v>
      </c>
      <c r="E120" s="4" t="n">
        <v>2715667.5</v>
      </c>
    </row>
    <row r="121" customFormat="false" ht="15" hidden="false" customHeight="true" outlineLevel="0" collapsed="false">
      <c r="A121" s="5" t="n">
        <v>2025</v>
      </c>
      <c r="B121" s="5" t="s">
        <v>21</v>
      </c>
      <c r="C121" s="5" t="s">
        <v>10</v>
      </c>
      <c r="D121" s="6" t="n">
        <v>571320000</v>
      </c>
      <c r="E121" s="6" t="n">
        <v>1999620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24.75" hidden="false" customHeight="true" outlineLevel="0" collapsed="false">
      <c r="A1" s="7" t="s">
        <v>22</v>
      </c>
      <c r="B1" s="7"/>
      <c r="C1" s="7"/>
      <c r="D1" s="7"/>
    </row>
    <row r="3" customFormat="false" ht="15" hidden="false" customHeight="true" outlineLevel="0" collapsed="false">
      <c r="A3" s="8" t="s">
        <v>23</v>
      </c>
      <c r="B3" s="8"/>
      <c r="C3" s="8"/>
      <c r="D3" s="8"/>
    </row>
    <row r="4" customFormat="false" ht="15" hidden="false" customHeight="true" outlineLevel="0" collapsed="false">
      <c r="A4" s="9" t="s">
        <v>24</v>
      </c>
      <c r="B4" s="9" t="s">
        <v>25</v>
      </c>
      <c r="C4" s="9" t="s">
        <v>26</v>
      </c>
      <c r="D4" s="9" t="s">
        <v>27</v>
      </c>
    </row>
    <row r="5" customFormat="false" ht="15" hidden="false" customHeight="true" outlineLevel="0" collapsed="false">
      <c r="A5" s="10" t="s">
        <v>28</v>
      </c>
      <c r="B5" s="11" t="n">
        <f aca="false">SUMIF('Raw Data'!$A:$A,2024,'Raw Data'!$D:$D)</f>
        <v>44089500000</v>
      </c>
      <c r="C5" s="11" t="n">
        <f aca="false">SUMIF('Raw Data'!$A:$A,2025,'Raw Data'!$D:$D)</f>
        <v>45715839000</v>
      </c>
      <c r="D5" s="11" t="n">
        <f aca="false">C5-B5</f>
        <v>1626339000</v>
      </c>
    </row>
    <row r="6" customFormat="false" ht="15" hidden="false" customHeight="true" outlineLevel="0" collapsed="false">
      <c r="A6" s="12" t="s">
        <v>29</v>
      </c>
      <c r="B6" s="13" t="n">
        <f aca="false">SUMIF('Raw Data'!$A:$A,2024,'Raw Data'!$E:$E)</f>
        <v>154313250</v>
      </c>
      <c r="C6" s="13" t="n">
        <f aca="false">SUMIF('Raw Data'!$A:$A,2025,'Raw Data'!$E:$E)</f>
        <v>160005436.5</v>
      </c>
      <c r="D6" s="13" t="n">
        <f aca="false">C6-B6</f>
        <v>5692186.5</v>
      </c>
    </row>
    <row r="7" customFormat="false" ht="15" hidden="false" customHeight="true" outlineLevel="0" collapsed="false">
      <c r="A7" s="10" t="s">
        <v>30</v>
      </c>
      <c r="B7" s="11" t="n">
        <f aca="false">B6/B5</f>
        <v>0.0035</v>
      </c>
      <c r="C7" s="14" t="n">
        <f aca="false">C6/C5</f>
        <v>0.0035</v>
      </c>
      <c r="D7" s="11" t="n">
        <f aca="false">C7-B7</f>
        <v>0</v>
      </c>
    </row>
    <row r="8" customFormat="false" ht="15" hidden="false" customHeight="true" outlineLevel="0" collapsed="false">
      <c r="A8" s="12" t="s">
        <v>31</v>
      </c>
      <c r="B8" s="13" t="n">
        <f aca="false">B5/12</f>
        <v>3674125000</v>
      </c>
      <c r="C8" s="13" t="n">
        <f aca="false">C5/12</f>
        <v>3809653250</v>
      </c>
      <c r="D8" s="13" t="n">
        <f aca="false">C8-B8</f>
        <v>135528250</v>
      </c>
    </row>
    <row r="10" customFormat="false" ht="15" hidden="false" customHeight="true" outlineLevel="0" collapsed="false">
      <c r="A10" s="8" t="s">
        <v>32</v>
      </c>
      <c r="B10" s="8"/>
      <c r="C10" s="8"/>
      <c r="D10" s="8"/>
    </row>
    <row r="11" customFormat="false" ht="15" hidden="false" customHeight="true" outlineLevel="0" collapsed="false">
      <c r="A11" s="9" t="s">
        <v>33</v>
      </c>
      <c r="B11" s="9" t="s">
        <v>34</v>
      </c>
      <c r="C11" s="9" t="s">
        <v>35</v>
      </c>
      <c r="D11" s="9" t="s">
        <v>36</v>
      </c>
    </row>
    <row r="12" customFormat="false" ht="15" hidden="false" customHeight="true" outlineLevel="0" collapsed="false">
      <c r="A12" s="15" t="s">
        <v>6</v>
      </c>
      <c r="B12" s="16" t="n">
        <f aca="false">SUMIFS('Raw Data'!$D:$D,'Raw Data'!$A:$A,2024,'Raw Data'!$C:$C,$A12)</f>
        <v>13481000000</v>
      </c>
      <c r="C12" s="16" t="n">
        <f aca="false">SUMIFS('Raw Data'!$D:$D,'Raw Data'!$A:$A,2025,'Raw Data'!$C:$C,$A12)</f>
        <v>14020240000</v>
      </c>
      <c r="D12" s="17" t="n">
        <f aca="false">(C12-B12)/B12</f>
        <v>0.04</v>
      </c>
    </row>
    <row r="13" customFormat="false" ht="15" hidden="false" customHeight="true" outlineLevel="0" collapsed="false">
      <c r="A13" s="18" t="s">
        <v>7</v>
      </c>
      <c r="B13" s="19" t="n">
        <f aca="false">SUMIFS('Raw Data'!$D:$D,'Raw Data'!$A:$A,2024,'Raw Data'!$C:$C,$A13)</f>
        <v>12155000000</v>
      </c>
      <c r="C13" s="19" t="n">
        <f aca="false">SUMIFS('Raw Data'!$D:$D,'Raw Data'!$A:$A,2025,'Raw Data'!$C:$C,$A13)</f>
        <v>12592580000</v>
      </c>
      <c r="D13" s="20" t="n">
        <f aca="false">(C13-B13)/B13</f>
        <v>0.036</v>
      </c>
    </row>
    <row r="14" customFormat="false" ht="15" hidden="false" customHeight="true" outlineLevel="0" collapsed="false">
      <c r="A14" s="15" t="s">
        <v>8</v>
      </c>
      <c r="B14" s="16" t="n">
        <f aca="false">SUMIFS('Raw Data'!$D:$D,'Raw Data'!$A:$A,2024,'Raw Data'!$C:$C,$A14)</f>
        <v>5967000000</v>
      </c>
      <c r="C14" s="16" t="n">
        <f aca="false">SUMIFS('Raw Data'!$D:$D,'Raw Data'!$A:$A,2025,'Raw Data'!$C:$C,$A14)</f>
        <v>6157944000</v>
      </c>
      <c r="D14" s="17" t="n">
        <f aca="false">(C14-B14)/B14</f>
        <v>0.032</v>
      </c>
    </row>
    <row r="15" customFormat="false" ht="15" hidden="false" customHeight="true" outlineLevel="0" collapsed="false">
      <c r="A15" s="18" t="s">
        <v>9</v>
      </c>
      <c r="B15" s="19" t="n">
        <f aca="false">SUMIFS('Raw Data'!$D:$D,'Raw Data'!$A:$A,2024,'Raw Data'!$C:$C,$A15)</f>
        <v>7182500000</v>
      </c>
      <c r="C15" s="19" t="n">
        <f aca="false">SUMIFS('Raw Data'!$D:$D,'Raw Data'!$A:$A,2025,'Raw Data'!$C:$C,$A15)</f>
        <v>7455435000</v>
      </c>
      <c r="D15" s="20" t="n">
        <f aca="false">(C15-B15)/B15</f>
        <v>0.038</v>
      </c>
    </row>
    <row r="16" customFormat="false" ht="15" hidden="false" customHeight="true" outlineLevel="0" collapsed="false">
      <c r="A16" s="15" t="s">
        <v>10</v>
      </c>
      <c r="B16" s="16" t="n">
        <f aca="false">SUMIFS('Raw Data'!$D:$D,'Raw Data'!$A:$A,2024,'Raw Data'!$C:$C,$A16)</f>
        <v>5304000000</v>
      </c>
      <c r="C16" s="16" t="n">
        <f aca="false">SUMIFS('Raw Data'!$D:$D,'Raw Data'!$A:$A,2025,'Raw Data'!$C:$C,$A16)</f>
        <v>5489640000</v>
      </c>
      <c r="D16" s="17" t="n">
        <f aca="false">(C16-B16)/B16</f>
        <v>0.035</v>
      </c>
    </row>
    <row r="18" customFormat="false" ht="19.5" hidden="false" customHeight="true" outlineLevel="0" collapsed="false">
      <c r="A18" s="21" t="s">
        <v>37</v>
      </c>
      <c r="B18" s="21"/>
      <c r="C18" s="21"/>
      <c r="D18" s="21"/>
    </row>
    <row r="19" customFormat="false" ht="27.75" hidden="false" customHeight="true" outlineLevel="0" collapsed="false">
      <c r="A19" s="22" t="s">
        <v>38</v>
      </c>
      <c r="B19" s="22"/>
      <c r="C19" s="22"/>
      <c r="D19" s="22"/>
    </row>
    <row r="20" customFormat="false" ht="27.75" hidden="false" customHeight="true" outlineLevel="0" collapsed="false">
      <c r="A20" s="22" t="s">
        <v>39</v>
      </c>
      <c r="B20" s="22"/>
      <c r="C20" s="22"/>
      <c r="D20" s="22"/>
    </row>
    <row r="21" customFormat="false" ht="27.75" hidden="false" customHeight="true" outlineLevel="0" collapsed="false">
      <c r="A21" s="22" t="s">
        <v>40</v>
      </c>
      <c r="B21" s="22"/>
      <c r="C21" s="22"/>
      <c r="D21" s="22"/>
    </row>
    <row r="22" customFormat="false" ht="27.75" hidden="false" customHeight="true" outlineLevel="0" collapsed="false">
      <c r="A22" s="22" t="s">
        <v>41</v>
      </c>
      <c r="B22" s="22"/>
      <c r="C22" s="22"/>
      <c r="D22" s="22"/>
    </row>
    <row r="23" customFormat="false" ht="60" hidden="false" customHeight="true" outlineLevel="0" collapsed="false"/>
    <row r="25" customFormat="false" ht="18" hidden="false" customHeight="true" outlineLevel="0" collapsed="false"/>
    <row r="26" customFormat="false" ht="60" hidden="false" customHeight="true" outlineLevel="0" collapsed="false"/>
  </sheetData>
  <mergeCells count="8">
    <mergeCell ref="A1:D1"/>
    <mergeCell ref="A3:D3"/>
    <mergeCell ref="A10:D10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2026-06-21T22:41:46Z</dcterms:created>
  <dc:creator>openpyxl</dc:creator>
  <dc:description/>
  <dc:language>en-US</dc:language>
  <cp:lastModifiedBy/>
  <dcterms:modified xsi:type="dcterms:W3CDTF">2026-06-21T22:55:22Z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